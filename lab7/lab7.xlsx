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<sst xmlns="http://schemas.openxmlformats.org/spreadsheetml/2006/main" count="241" uniqueCount="73">
  <si>
    <t>С помощью метода анализа иерархий буду выбирать себе новый монитор для работы и учебы</t>
  </si>
  <si>
    <t>Модель</t>
  </si>
  <si>
    <t>Диагональ</t>
  </si>
  <si>
    <t>Разрешение</t>
  </si>
  <si>
    <t>Частота обн.</t>
  </si>
  <si>
    <t>Матрица</t>
  </si>
  <si>
    <t>Контрастность</t>
  </si>
  <si>
    <t>Цена</t>
  </si>
  <si>
    <t>К критериям</t>
  </si>
  <si>
    <t>DEXP DF22N2</t>
  </si>
  <si>
    <t xml:space="preserve"> 21.45''</t>
  </si>
  <si>
    <t xml:space="preserve"> 1920x1080</t>
  </si>
  <si>
    <t xml:space="preserve"> 100 Гц</t>
  </si>
  <si>
    <t xml:space="preserve"> VA</t>
  </si>
  <si>
    <t xml:space="preserve"> 3000:1</t>
  </si>
  <si>
    <t xml:space="preserve"> 6 799 руб.</t>
  </si>
  <si>
    <t>1 - равная важность</t>
  </si>
  <si>
    <t>MSI PRO MP273A</t>
  </si>
  <si>
    <t xml:space="preserve"> 27''</t>
  </si>
  <si>
    <t xml:space="preserve"> IPS</t>
  </si>
  <si>
    <t xml:space="preserve"> 1000:1</t>
  </si>
  <si>
    <t xml:space="preserve"> 10 699 руб.</t>
  </si>
  <si>
    <t>3 - умеренное превосходство</t>
  </si>
  <si>
    <t>Xiaomi G27Qi</t>
  </si>
  <si>
    <t xml:space="preserve"> 2560x1440</t>
  </si>
  <si>
    <t xml:space="preserve"> 180 Гц</t>
  </si>
  <si>
    <t xml:space="preserve"> 19 999 руб.</t>
  </si>
  <si>
    <t>5 - существенное превосходство</t>
  </si>
  <si>
    <t>ARDOR GAMING QUASAR AQW34H3</t>
  </si>
  <si>
    <t xml:space="preserve"> 34"</t>
  </si>
  <si>
    <t xml:space="preserve"> 3440x1440</t>
  </si>
  <si>
    <t xml:space="preserve"> 4000:1</t>
  </si>
  <si>
    <t xml:space="preserve"> 24 999 руб.</t>
  </si>
  <si>
    <t>7 - значительное превосходство</t>
  </si>
  <si>
    <t>Samsung Odyssey OLED G61SD</t>
  </si>
  <si>
    <t xml:space="preserve"> 27"</t>
  </si>
  <si>
    <t xml:space="preserve"> 240 Гц</t>
  </si>
  <si>
    <t xml:space="preserve"> OLED</t>
  </si>
  <si>
    <t xml:space="preserve"> 1M:1</t>
  </si>
  <si>
    <t xml:space="preserve"> 64 999 руб.</t>
  </si>
  <si>
    <t>9 - очень сильное превосходство</t>
  </si>
  <si>
    <t>2,4,6,8 - промежуточные значения</t>
  </si>
  <si>
    <t>Критерии</t>
  </si>
  <si>
    <t>Оценки
компонент 
собс. вектора</t>
  </si>
  <si>
    <t>Нормализ-ые 
оценки 
вектора 
приоритета</t>
  </si>
  <si>
    <t>λmax</t>
  </si>
  <si>
    <t>Инд. согл-и</t>
  </si>
  <si>
    <t>Отн. согл-и</t>
  </si>
  <si>
    <t>&lt;10%</t>
  </si>
  <si>
    <t>СС для 6х6 = 1.24</t>
  </si>
  <si>
    <t>Сумма</t>
  </si>
  <si>
    <t>Далее проводим числовые оценки матрицы попарных сравнений для каждого критерия</t>
  </si>
  <si>
    <t>DEXP</t>
  </si>
  <si>
    <t>MSI</t>
  </si>
  <si>
    <t>Xiaomi</t>
  </si>
  <si>
    <t>ARDOR</t>
  </si>
  <si>
    <t>Samsung</t>
  </si>
  <si>
    <t>Чем больше диагональ - тем лучше</t>
  </si>
  <si>
    <t>СС для 5х5 = 1.12</t>
  </si>
  <si>
    <t>Чем больше разрешение - тем лучше</t>
  </si>
  <si>
    <t>Частота обновления</t>
  </si>
  <si>
    <t>Чем больше частота - тем лучше</t>
  </si>
  <si>
    <t>OLED ≫ IPS ≫ VA (чем «выше» технология, тем лучше)</t>
  </si>
  <si>
    <t>Чем больше значение - тем лучше</t>
  </si>
  <si>
    <t>Чем ниже цена - тем лучше</t>
  </si>
  <si>
    <t>Результаты выбора</t>
  </si>
  <si>
    <t>Альтернативы</t>
  </si>
  <si>
    <t>Глобальные
приоритеты</t>
  </si>
  <si>
    <t>Численное значение вектора приоритета</t>
  </si>
  <si>
    <t>Вывод</t>
  </si>
  <si>
    <t>По графикам видно, что метод анализа иерархий</t>
  </si>
  <si>
    <t>рекомендует переплатить за качественный монитор</t>
  </si>
  <si>
    <t>чтобы было комфортнее работать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</si>
</sst>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4.0"/>
      <color theme="1"/>
      <name val="Calibri"/>
    </font>
    <font/>
    <font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3" numFmtId="0" xfId="0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2" numFmtId="2" xfId="0" applyBorder="1" applyFont="1" applyNumberFormat="1"/>
    <xf borderId="1" fillId="0" fontId="2" numFmtId="164" xfId="0" applyAlignment="1" applyBorder="1" applyFont="1" applyNumberFormat="1">
      <alignment horizontal="right"/>
    </xf>
    <xf borderId="1" fillId="0" fontId="2" numFmtId="164" xfId="0" applyBorder="1" applyFont="1" applyNumberFormat="1"/>
    <xf borderId="2" fillId="2" fontId="2" numFmtId="0" xfId="0" applyBorder="1" applyFill="1" applyFont="1"/>
    <xf borderId="2" fillId="2" fontId="2" numFmtId="2" xfId="0" applyBorder="1" applyFont="1" applyNumberFormat="1"/>
    <xf borderId="2" fillId="3" fontId="2" numFmtId="0" xfId="0" applyBorder="1" applyFill="1" applyFont="1"/>
    <xf borderId="3" fillId="0" fontId="2" numFmtId="2" xfId="0" applyBorder="1" applyFont="1" applyNumberFormat="1"/>
    <xf borderId="1" fillId="4" fontId="2" numFmtId="0" xfId="0" applyBorder="1" applyFill="1" applyFont="1"/>
    <xf borderId="1" fillId="4" fontId="2" numFmtId="2" xfId="0" applyBorder="1" applyFont="1" applyNumberFormat="1"/>
    <xf borderId="1" fillId="4" fontId="2" numFmtId="164" xfId="0" applyBorder="1" applyFont="1" applyNumberFormat="1"/>
    <xf borderId="0" fillId="0" fontId="4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4" fontId="2" numFmtId="164" xfId="0" applyAlignment="1" applyBorder="1" applyFont="1" applyNumberFormat="1">
      <alignment horizontal="right"/>
    </xf>
    <xf borderId="0" fillId="0" fontId="5" numFmtId="0" xfId="0" applyFont="1"/>
    <xf borderId="7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3" fillId="0" fontId="2" numFmtId="0" xfId="0" applyAlignment="1" applyBorder="1" applyFont="1">
      <alignment horizontal="center" vertical="center"/>
    </xf>
    <xf borderId="9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1" fillId="0" fontId="2" numFmtId="164" xfId="0" applyAlignment="1" applyBorder="1" applyFont="1" applyNumberForma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Глобальные приоритеты мониторов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'Лист1'!$A$81:$A$85</c:f>
            </c:strRef>
          </c:cat>
          <c:val>
            <c:numRef>
              <c:f>'Лист1'!$H$81:$H$85</c:f>
              <c:numCache/>
            </c:numRef>
          </c:val>
        </c:ser>
        <c:axId val="479894738"/>
        <c:axId val="1733890606"/>
      </c:barChart>
      <c:catAx>
        <c:axId val="4798947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733890606"/>
      </c:catAx>
      <c:valAx>
        <c:axId val="17338906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9894738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86</xdr:row>
      <xdr:rowOff>9525</xdr:rowOff>
    </xdr:from>
    <xdr:ext cx="9525000" cy="3562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0.71"/>
    <col customWidth="1" min="3" max="3" width="12.43"/>
    <col customWidth="1" min="4" max="4" width="12.29"/>
    <col customWidth="1" min="5" max="5" width="10.71"/>
    <col customWidth="1" min="6" max="6" width="14.29"/>
    <col customWidth="1" min="7" max="7" width="11.14"/>
    <col customWidth="1" min="8" max="8" width="13.57"/>
    <col customWidth="1" min="9" max="9" width="16.57"/>
    <col customWidth="1" min="10" max="10" width="8.71"/>
    <col customWidth="1" min="11" max="11" width="11.71"/>
    <col customWidth="1" min="12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K3" s="3" t="s">
        <v>8</v>
      </c>
    </row>
    <row r="4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K4" s="3" t="s">
        <v>16</v>
      </c>
    </row>
    <row r="5">
      <c r="A5" s="2" t="s">
        <v>17</v>
      </c>
      <c r="B5" s="2" t="s">
        <v>18</v>
      </c>
      <c r="C5" s="2" t="s">
        <v>11</v>
      </c>
      <c r="D5" s="2" t="s">
        <v>12</v>
      </c>
      <c r="E5" s="2" t="s">
        <v>19</v>
      </c>
      <c r="F5" s="2" t="s">
        <v>20</v>
      </c>
      <c r="G5" s="2" t="s">
        <v>21</v>
      </c>
      <c r="K5" s="3" t="s">
        <v>22</v>
      </c>
    </row>
    <row r="6">
      <c r="A6" s="2" t="s">
        <v>23</v>
      </c>
      <c r="B6" s="2" t="s">
        <v>18</v>
      </c>
      <c r="C6" s="2" t="s">
        <v>24</v>
      </c>
      <c r="D6" s="2" t="s">
        <v>25</v>
      </c>
      <c r="E6" s="2" t="s">
        <v>19</v>
      </c>
      <c r="F6" s="2" t="s">
        <v>20</v>
      </c>
      <c r="G6" s="2" t="s">
        <v>26</v>
      </c>
      <c r="K6" s="3" t="s">
        <v>27</v>
      </c>
    </row>
    <row r="7">
      <c r="A7" s="2" t="s">
        <v>28</v>
      </c>
      <c r="B7" s="2" t="s">
        <v>29</v>
      </c>
      <c r="C7" s="2" t="s">
        <v>30</v>
      </c>
      <c r="D7" s="2" t="s">
        <v>25</v>
      </c>
      <c r="E7" s="2" t="s">
        <v>13</v>
      </c>
      <c r="F7" s="2" t="s">
        <v>31</v>
      </c>
      <c r="G7" s="2" t="s">
        <v>32</v>
      </c>
      <c r="K7" s="3" t="s">
        <v>33</v>
      </c>
    </row>
    <row r="8">
      <c r="A8" s="2" t="s">
        <v>34</v>
      </c>
      <c r="B8" s="2" t="s">
        <v>35</v>
      </c>
      <c r="C8" s="2" t="s">
        <v>24</v>
      </c>
      <c r="D8" s="2" t="s">
        <v>36</v>
      </c>
      <c r="E8" s="2" t="s">
        <v>37</v>
      </c>
      <c r="F8" s="2" t="s">
        <v>38</v>
      </c>
      <c r="G8" s="2" t="s">
        <v>39</v>
      </c>
      <c r="K8" s="3" t="s">
        <v>40</v>
      </c>
    </row>
    <row r="9">
      <c r="K9" s="3" t="s">
        <v>41</v>
      </c>
    </row>
    <row r="10" ht="57.75" customHeight="1">
      <c r="A10" s="2" t="s">
        <v>42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4" t="s">
        <v>43</v>
      </c>
      <c r="I10" s="5" t="s">
        <v>44</v>
      </c>
    </row>
    <row r="11">
      <c r="A11" s="2" t="s">
        <v>2</v>
      </c>
      <c r="B11" s="6">
        <v>1.0</v>
      </c>
      <c r="C11" s="6">
        <f>1/B12</f>
        <v>0.25</v>
      </c>
      <c r="D11" s="6">
        <f>1/B13</f>
        <v>0.3333333333</v>
      </c>
      <c r="E11" s="6">
        <f>1/B14</f>
        <v>0.5</v>
      </c>
      <c r="F11" s="6">
        <f>1/B15</f>
        <v>0.5</v>
      </c>
      <c r="G11" s="6">
        <f>1/B16</f>
        <v>0.2</v>
      </c>
      <c r="H11" s="7">
        <f t="shared" ref="H11:H16" si="1">POWER(PRODUCT(B11:G11),1/6)</f>
        <v>0.4011419916</v>
      </c>
      <c r="I11" s="8">
        <f t="shared" ref="I11:I16" si="2">H11/$H$17</f>
        <v>0.0492610544</v>
      </c>
      <c r="K11" s="3" t="s">
        <v>45</v>
      </c>
      <c r="L11" s="3">
        <f>B17*I11+C17*I12+D17*I13+E17*I14+F17*I15+G17*I16</f>
        <v>6.392464767</v>
      </c>
    </row>
    <row r="12">
      <c r="A12" s="2" t="s">
        <v>3</v>
      </c>
      <c r="B12" s="6">
        <v>4.0</v>
      </c>
      <c r="C12" s="6">
        <v>1.0</v>
      </c>
      <c r="D12" s="6">
        <f>1/C13</f>
        <v>3</v>
      </c>
      <c r="E12" s="6">
        <f>1/C14</f>
        <v>5</v>
      </c>
      <c r="F12" s="6">
        <f>1/C15</f>
        <v>4</v>
      </c>
      <c r="G12" s="6">
        <f>1/C16</f>
        <v>0.3333333333</v>
      </c>
      <c r="H12" s="7">
        <f t="shared" si="1"/>
        <v>2.075781631</v>
      </c>
      <c r="I12" s="8">
        <f t="shared" si="2"/>
        <v>0.2549102163</v>
      </c>
      <c r="K12" s="9" t="s">
        <v>46</v>
      </c>
      <c r="L12" s="10">
        <f>ABS(L11-6)/5</f>
        <v>0.07849295336</v>
      </c>
    </row>
    <row r="13">
      <c r="A13" s="2" t="s">
        <v>4</v>
      </c>
      <c r="B13" s="6">
        <v>3.0</v>
      </c>
      <c r="C13" s="6">
        <v>0.3333333333333333</v>
      </c>
      <c r="D13" s="6">
        <v>1.0</v>
      </c>
      <c r="E13" s="6">
        <f>1/D14</f>
        <v>4</v>
      </c>
      <c r="F13" s="6">
        <f>1/D15</f>
        <v>3</v>
      </c>
      <c r="G13" s="6">
        <f>1/D16</f>
        <v>0.3333333333</v>
      </c>
      <c r="H13" s="7">
        <f t="shared" si="1"/>
        <v>1.25992105</v>
      </c>
      <c r="I13" s="8">
        <f t="shared" si="2"/>
        <v>0.1547208736</v>
      </c>
      <c r="K13" s="9" t="s">
        <v>47</v>
      </c>
      <c r="L13" s="10">
        <f>L12/1.24</f>
        <v>0.06330076884</v>
      </c>
      <c r="M13" s="11" t="s">
        <v>48</v>
      </c>
    </row>
    <row r="14">
      <c r="A14" s="2" t="s">
        <v>5</v>
      </c>
      <c r="B14" s="6">
        <v>2.0</v>
      </c>
      <c r="C14" s="6">
        <v>0.2</v>
      </c>
      <c r="D14" s="6">
        <v>0.25</v>
      </c>
      <c r="E14" s="6">
        <v>1.0</v>
      </c>
      <c r="F14" s="6">
        <f>1/E15</f>
        <v>0.5</v>
      </c>
      <c r="G14" s="6">
        <f>1/E16</f>
        <v>0.2</v>
      </c>
      <c r="H14" s="7">
        <f t="shared" si="1"/>
        <v>0.4641588834</v>
      </c>
      <c r="I14" s="8">
        <f t="shared" si="2"/>
        <v>0.05699965718</v>
      </c>
      <c r="K14" s="3" t="s">
        <v>49</v>
      </c>
    </row>
    <row r="15">
      <c r="A15" s="2" t="s">
        <v>6</v>
      </c>
      <c r="B15" s="6">
        <v>2.0</v>
      </c>
      <c r="C15" s="6">
        <v>0.25</v>
      </c>
      <c r="D15" s="6">
        <v>0.3333333333</v>
      </c>
      <c r="E15" s="6">
        <v>2.0</v>
      </c>
      <c r="F15" s="6">
        <v>1.0</v>
      </c>
      <c r="G15" s="6">
        <f>1/F16</f>
        <v>0.1666666667</v>
      </c>
      <c r="H15" s="7">
        <f t="shared" si="1"/>
        <v>0.6177146705</v>
      </c>
      <c r="I15" s="8">
        <f t="shared" si="2"/>
        <v>0.0758566209</v>
      </c>
    </row>
    <row r="16">
      <c r="A16" s="2" t="s">
        <v>7</v>
      </c>
      <c r="B16" s="6">
        <v>5.0</v>
      </c>
      <c r="C16" s="6">
        <v>3.0</v>
      </c>
      <c r="D16" s="6">
        <v>3.0</v>
      </c>
      <c r="E16" s="6">
        <v>5.0</v>
      </c>
      <c r="F16" s="12">
        <v>6.0</v>
      </c>
      <c r="G16" s="6">
        <v>1.0</v>
      </c>
      <c r="H16" s="7">
        <f t="shared" si="1"/>
        <v>3.324469055</v>
      </c>
      <c r="I16" s="8">
        <f t="shared" si="2"/>
        <v>0.4082515777</v>
      </c>
    </row>
    <row r="17">
      <c r="A17" s="13" t="s">
        <v>50</v>
      </c>
      <c r="B17" s="14">
        <f t="shared" ref="B17:I17" si="3">SUM(B11:B16)</f>
        <v>17</v>
      </c>
      <c r="C17" s="14">
        <f t="shared" si="3"/>
        <v>5.033333333</v>
      </c>
      <c r="D17" s="14">
        <f t="shared" si="3"/>
        <v>7.916666667</v>
      </c>
      <c r="E17" s="14">
        <f t="shared" si="3"/>
        <v>17.5</v>
      </c>
      <c r="F17" s="14">
        <f t="shared" si="3"/>
        <v>15</v>
      </c>
      <c r="G17" s="14">
        <f t="shared" si="3"/>
        <v>2.233333333</v>
      </c>
      <c r="H17" s="15">
        <f t="shared" si="3"/>
        <v>8.143187281</v>
      </c>
      <c r="I17" s="8">
        <f t="shared" si="3"/>
        <v>1</v>
      </c>
    </row>
    <row r="20">
      <c r="A20" s="1" t="s">
        <v>51</v>
      </c>
    </row>
    <row r="21" ht="15.75" customHeight="1"/>
    <row r="22" ht="15.75" customHeight="1">
      <c r="A22" s="16" t="s">
        <v>2</v>
      </c>
    </row>
    <row r="23" ht="15.75" customHeight="1">
      <c r="B23" s="17"/>
      <c r="C23" s="18" t="s">
        <v>52</v>
      </c>
      <c r="D23" s="2" t="s">
        <v>53</v>
      </c>
      <c r="E23" s="2" t="s">
        <v>54</v>
      </c>
      <c r="F23" s="2" t="s">
        <v>55</v>
      </c>
      <c r="G23" s="2" t="s">
        <v>56</v>
      </c>
      <c r="H23" s="4" t="s">
        <v>43</v>
      </c>
      <c r="I23" s="5" t="s">
        <v>44</v>
      </c>
      <c r="K23" s="3" t="s">
        <v>57</v>
      </c>
    </row>
    <row r="24" ht="15.75" customHeight="1">
      <c r="A24" s="2" t="s">
        <v>10</v>
      </c>
      <c r="B24" s="19" t="s">
        <v>52</v>
      </c>
      <c r="C24" s="6">
        <v>1.0</v>
      </c>
      <c r="D24" s="6">
        <f t="shared" ref="D24:E24" si="4">1/3</f>
        <v>0.3333333333</v>
      </c>
      <c r="E24" s="6">
        <f t="shared" si="4"/>
        <v>0.3333333333</v>
      </c>
      <c r="F24" s="6">
        <v>0.2</v>
      </c>
      <c r="G24" s="6">
        <f>1/3</f>
        <v>0.3333333333</v>
      </c>
      <c r="H24" s="7">
        <f t="shared" ref="H24:H28" si="5">POWER(PRODUCT(C24:G24),1/5)</f>
        <v>0.374915371</v>
      </c>
      <c r="I24" s="8">
        <f t="shared" ref="I24:I28" si="6">H24/$H$29</f>
        <v>0.06204964502</v>
      </c>
    </row>
    <row r="25" ht="15.75" customHeight="1">
      <c r="A25" s="2" t="s">
        <v>18</v>
      </c>
      <c r="B25" s="2" t="s">
        <v>53</v>
      </c>
      <c r="C25" s="6">
        <v>3.0</v>
      </c>
      <c r="D25" s="6">
        <v>1.0</v>
      </c>
      <c r="E25" s="6">
        <v>1.0</v>
      </c>
      <c r="F25" s="6">
        <f t="shared" ref="F25:F26" si="7">1/3</f>
        <v>0.3333333333</v>
      </c>
      <c r="G25" s="6">
        <v>1.0</v>
      </c>
      <c r="H25" s="7">
        <f t="shared" si="5"/>
        <v>1</v>
      </c>
      <c r="I25" s="8">
        <f t="shared" si="6"/>
        <v>0.1655030703</v>
      </c>
    </row>
    <row r="26" ht="15.75" customHeight="1">
      <c r="A26" s="2" t="s">
        <v>18</v>
      </c>
      <c r="B26" s="2" t="s">
        <v>54</v>
      </c>
      <c r="C26" s="6">
        <v>3.0</v>
      </c>
      <c r="D26" s="6">
        <v>1.0</v>
      </c>
      <c r="E26" s="6">
        <v>1.0</v>
      </c>
      <c r="F26" s="6">
        <f t="shared" si="7"/>
        <v>0.3333333333</v>
      </c>
      <c r="G26" s="6">
        <v>1.0</v>
      </c>
      <c r="H26" s="7">
        <f t="shared" si="5"/>
        <v>1</v>
      </c>
      <c r="I26" s="8">
        <f t="shared" si="6"/>
        <v>0.1655030703</v>
      </c>
      <c r="K26" s="3" t="s">
        <v>45</v>
      </c>
      <c r="L26" s="3">
        <f>C29*I24+D29*I25+E29*I26+F29*I27+G29*I28</f>
        <v>5.046473528</v>
      </c>
    </row>
    <row r="27" ht="15.75" customHeight="1">
      <c r="A27" s="2" t="s">
        <v>29</v>
      </c>
      <c r="B27" s="2" t="s">
        <v>55</v>
      </c>
      <c r="C27" s="6">
        <v>5.0</v>
      </c>
      <c r="D27" s="6">
        <v>3.0</v>
      </c>
      <c r="E27" s="6">
        <v>3.0</v>
      </c>
      <c r="F27" s="6">
        <v>1.0</v>
      </c>
      <c r="G27" s="6">
        <v>3.0</v>
      </c>
      <c r="H27" s="7">
        <f t="shared" si="5"/>
        <v>2.667268608</v>
      </c>
      <c r="I27" s="8">
        <f t="shared" si="6"/>
        <v>0.441441144</v>
      </c>
      <c r="K27" s="9" t="s">
        <v>46</v>
      </c>
      <c r="L27" s="10">
        <f>ABS(L26-5)/4</f>
        <v>0.01161838203</v>
      </c>
    </row>
    <row r="28" ht="15.75" customHeight="1">
      <c r="A28" s="2" t="s">
        <v>35</v>
      </c>
      <c r="B28" s="2" t="s">
        <v>56</v>
      </c>
      <c r="C28" s="6">
        <v>3.0</v>
      </c>
      <c r="D28" s="6">
        <v>1.0</v>
      </c>
      <c r="E28" s="6">
        <v>1.0</v>
      </c>
      <c r="F28" s="6">
        <f>1/3</f>
        <v>0.3333333333</v>
      </c>
      <c r="G28" s="6">
        <v>1.0</v>
      </c>
      <c r="H28" s="7">
        <f t="shared" si="5"/>
        <v>1</v>
      </c>
      <c r="I28" s="8">
        <f t="shared" si="6"/>
        <v>0.1655030703</v>
      </c>
      <c r="K28" s="9" t="s">
        <v>47</v>
      </c>
      <c r="L28" s="10">
        <f>L27/1.12</f>
        <v>0.01037355538</v>
      </c>
      <c r="M28" s="11" t="s">
        <v>48</v>
      </c>
    </row>
    <row r="29" ht="15.75" customHeight="1">
      <c r="B29" s="13" t="s">
        <v>50</v>
      </c>
      <c r="C29" s="14">
        <f t="shared" ref="C29:I29" si="8">SUM(C24:C28)</f>
        <v>15</v>
      </c>
      <c r="D29" s="14">
        <f t="shared" si="8"/>
        <v>6.333333333</v>
      </c>
      <c r="E29" s="14">
        <f t="shared" si="8"/>
        <v>6.333333333</v>
      </c>
      <c r="F29" s="14">
        <f t="shared" si="8"/>
        <v>2.2</v>
      </c>
      <c r="G29" s="14">
        <f t="shared" si="8"/>
        <v>6.333333333</v>
      </c>
      <c r="H29" s="20">
        <f t="shared" si="8"/>
        <v>6.042183979</v>
      </c>
      <c r="I29" s="8">
        <f t="shared" si="8"/>
        <v>1</v>
      </c>
      <c r="K29" s="3" t="s">
        <v>58</v>
      </c>
    </row>
    <row r="30" ht="15.75" customHeight="1"/>
    <row r="31" ht="15.75" customHeight="1">
      <c r="A31" s="16" t="s">
        <v>3</v>
      </c>
    </row>
    <row r="32" ht="15.75" customHeight="1">
      <c r="B32" s="17"/>
      <c r="C32" s="18" t="s">
        <v>52</v>
      </c>
      <c r="D32" s="2" t="s">
        <v>53</v>
      </c>
      <c r="E32" s="2" t="s">
        <v>54</v>
      </c>
      <c r="F32" s="2" t="s">
        <v>55</v>
      </c>
      <c r="G32" s="2" t="s">
        <v>56</v>
      </c>
      <c r="H32" s="4" t="s">
        <v>43</v>
      </c>
      <c r="I32" s="5" t="s">
        <v>44</v>
      </c>
      <c r="K32" s="3" t="s">
        <v>59</v>
      </c>
    </row>
    <row r="33" ht="15.75" customHeight="1">
      <c r="A33" s="2" t="s">
        <v>11</v>
      </c>
      <c r="B33" s="19" t="s">
        <v>52</v>
      </c>
      <c r="C33" s="6">
        <v>1.0</v>
      </c>
      <c r="D33" s="6">
        <v>1.0</v>
      </c>
      <c r="E33" s="6">
        <f>1/5</f>
        <v>0.2</v>
      </c>
      <c r="F33" s="6">
        <f t="shared" ref="F33:F34" si="9">1/7</f>
        <v>0.1428571429</v>
      </c>
      <c r="G33" s="6">
        <f t="shared" ref="G33:G34" si="10">1/5</f>
        <v>0.2</v>
      </c>
      <c r="H33" s="7">
        <f t="shared" ref="H33:H37" si="11">POWER(PRODUCT(C33:G33),1/5)</f>
        <v>0.3559527809</v>
      </c>
      <c r="I33" s="8">
        <f t="shared" ref="I33:I37" si="12">H33/$H$38</f>
        <v>0.04979778396</v>
      </c>
    </row>
    <row r="34" ht="15.75" customHeight="1">
      <c r="A34" s="2" t="s">
        <v>11</v>
      </c>
      <c r="B34" s="2" t="s">
        <v>53</v>
      </c>
      <c r="C34" s="6">
        <v>1.0</v>
      </c>
      <c r="D34" s="6">
        <v>1.0</v>
      </c>
      <c r="E34" s="6">
        <v>0.2</v>
      </c>
      <c r="F34" s="6">
        <f t="shared" si="9"/>
        <v>0.1428571429</v>
      </c>
      <c r="G34" s="6">
        <f t="shared" si="10"/>
        <v>0.2</v>
      </c>
      <c r="H34" s="7">
        <f t="shared" si="11"/>
        <v>0.3559527809</v>
      </c>
      <c r="I34" s="8">
        <f t="shared" si="12"/>
        <v>0.04979778396</v>
      </c>
    </row>
    <row r="35" ht="15.75" customHeight="1">
      <c r="A35" s="2" t="s">
        <v>24</v>
      </c>
      <c r="B35" s="2" t="s">
        <v>54</v>
      </c>
      <c r="C35" s="6">
        <v>5.0</v>
      </c>
      <c r="D35" s="6">
        <v>5.0</v>
      </c>
      <c r="E35" s="6">
        <v>1.0</v>
      </c>
      <c r="F35" s="6">
        <f>1/3</f>
        <v>0.3333333333</v>
      </c>
      <c r="G35" s="6">
        <v>1.0</v>
      </c>
      <c r="H35" s="7">
        <f t="shared" si="11"/>
        <v>1.528142136</v>
      </c>
      <c r="I35" s="8">
        <f t="shared" si="12"/>
        <v>0.2137870415</v>
      </c>
      <c r="K35" s="3" t="s">
        <v>45</v>
      </c>
      <c r="L35" s="3">
        <f>C38*I33+D38*I34+E38*I35+F38*I36+G38*I37</f>
        <v>5.124360806</v>
      </c>
    </row>
    <row r="36" ht="15.75" customHeight="1">
      <c r="A36" s="2" t="s">
        <v>30</v>
      </c>
      <c r="B36" s="2" t="s">
        <v>55</v>
      </c>
      <c r="C36" s="6">
        <v>7.0</v>
      </c>
      <c r="D36" s="6">
        <v>7.0</v>
      </c>
      <c r="E36" s="6">
        <v>3.0</v>
      </c>
      <c r="F36" s="6">
        <v>1.0</v>
      </c>
      <c r="G36" s="6">
        <v>3.0</v>
      </c>
      <c r="H36" s="7">
        <f t="shared" si="11"/>
        <v>3.379774445</v>
      </c>
      <c r="I36" s="8">
        <f t="shared" si="12"/>
        <v>0.4728303491</v>
      </c>
      <c r="K36" s="9" t="s">
        <v>46</v>
      </c>
      <c r="L36" s="10">
        <f>ABS(L35-5)/4</f>
        <v>0.03109020149</v>
      </c>
    </row>
    <row r="37" ht="15.75" customHeight="1">
      <c r="A37" s="2" t="s">
        <v>24</v>
      </c>
      <c r="B37" s="2" t="s">
        <v>56</v>
      </c>
      <c r="C37" s="6">
        <v>5.0</v>
      </c>
      <c r="D37" s="6">
        <v>5.0</v>
      </c>
      <c r="E37" s="6">
        <v>1.0</v>
      </c>
      <c r="F37" s="6">
        <f>1/3</f>
        <v>0.3333333333</v>
      </c>
      <c r="G37" s="6">
        <v>1.0</v>
      </c>
      <c r="H37" s="7">
        <f t="shared" si="11"/>
        <v>1.528142136</v>
      </c>
      <c r="I37" s="8">
        <f t="shared" si="12"/>
        <v>0.2137870415</v>
      </c>
      <c r="K37" s="9" t="s">
        <v>47</v>
      </c>
      <c r="L37" s="10">
        <f>L36/1.12</f>
        <v>0.02775910847</v>
      </c>
      <c r="M37" s="11" t="s">
        <v>48</v>
      </c>
    </row>
    <row r="38" ht="15.75" customHeight="1">
      <c r="B38" s="13" t="s">
        <v>50</v>
      </c>
      <c r="C38" s="14">
        <f t="shared" ref="C38:I38" si="13">SUM(C33:C37)</f>
        <v>19</v>
      </c>
      <c r="D38" s="14">
        <f t="shared" si="13"/>
        <v>19</v>
      </c>
      <c r="E38" s="14">
        <f t="shared" si="13"/>
        <v>5.4</v>
      </c>
      <c r="F38" s="14">
        <f t="shared" si="13"/>
        <v>1.952380952</v>
      </c>
      <c r="G38" s="14">
        <f t="shared" si="13"/>
        <v>5.4</v>
      </c>
      <c r="H38" s="20">
        <f t="shared" si="13"/>
        <v>7.147964279</v>
      </c>
      <c r="I38" s="8">
        <f t="shared" si="13"/>
        <v>1</v>
      </c>
      <c r="K38" s="3" t="s">
        <v>58</v>
      </c>
    </row>
    <row r="39" ht="15.75" customHeight="1"/>
    <row r="40" ht="15.75" customHeight="1">
      <c r="A40" s="16" t="s">
        <v>60</v>
      </c>
    </row>
    <row r="41" ht="15.75" customHeight="1">
      <c r="B41" s="17"/>
      <c r="C41" s="18" t="s">
        <v>52</v>
      </c>
      <c r="D41" s="2" t="s">
        <v>53</v>
      </c>
      <c r="E41" s="2" t="s">
        <v>54</v>
      </c>
      <c r="F41" s="2" t="s">
        <v>55</v>
      </c>
      <c r="G41" s="2" t="s">
        <v>56</v>
      </c>
      <c r="H41" s="4" t="s">
        <v>43</v>
      </c>
      <c r="I41" s="5" t="s">
        <v>44</v>
      </c>
      <c r="K41" s="3" t="s">
        <v>61</v>
      </c>
    </row>
    <row r="42" ht="15.75" customHeight="1">
      <c r="A42" s="2" t="s">
        <v>12</v>
      </c>
      <c r="B42" s="19" t="s">
        <v>52</v>
      </c>
      <c r="C42" s="6">
        <v>1.0</v>
      </c>
      <c r="D42" s="6">
        <v>1.0</v>
      </c>
      <c r="E42" s="6">
        <v>0.25</v>
      </c>
      <c r="F42" s="6">
        <v>0.25</v>
      </c>
      <c r="G42" s="6">
        <f t="shared" ref="G42:G43" si="14">1/7</f>
        <v>0.1428571429</v>
      </c>
      <c r="H42" s="7">
        <f t="shared" ref="H42:H46" si="15">POWER(PRODUCT(C42:G42),1/5)</f>
        <v>0.3891852708</v>
      </c>
      <c r="I42" s="8">
        <f t="shared" ref="I42:I46" si="16">H42/$H$47</f>
        <v>0.0559700691</v>
      </c>
    </row>
    <row r="43" ht="15.75" customHeight="1">
      <c r="A43" s="2" t="s">
        <v>12</v>
      </c>
      <c r="B43" s="2" t="s">
        <v>53</v>
      </c>
      <c r="C43" s="6">
        <v>1.0</v>
      </c>
      <c r="D43" s="6">
        <v>1.0</v>
      </c>
      <c r="E43" s="6">
        <v>0.25</v>
      </c>
      <c r="F43" s="6">
        <v>0.25</v>
      </c>
      <c r="G43" s="6">
        <f t="shared" si="14"/>
        <v>0.1428571429</v>
      </c>
      <c r="H43" s="7">
        <f t="shared" si="15"/>
        <v>0.3891852708</v>
      </c>
      <c r="I43" s="8">
        <f t="shared" si="16"/>
        <v>0.0559700691</v>
      </c>
    </row>
    <row r="44" ht="15.75" customHeight="1">
      <c r="A44" s="2" t="s">
        <v>25</v>
      </c>
      <c r="B44" s="2" t="s">
        <v>54</v>
      </c>
      <c r="C44" s="6">
        <v>4.0</v>
      </c>
      <c r="D44" s="6">
        <v>4.0</v>
      </c>
      <c r="E44" s="6">
        <v>1.0</v>
      </c>
      <c r="F44" s="6">
        <v>1.0</v>
      </c>
      <c r="G44" s="6">
        <f t="shared" ref="G44:G45" si="17">1/3</f>
        <v>0.3333333333</v>
      </c>
      <c r="H44" s="7">
        <f t="shared" si="15"/>
        <v>1.397654238</v>
      </c>
      <c r="I44" s="8">
        <f t="shared" si="16"/>
        <v>0.2010014513</v>
      </c>
      <c r="K44" s="3" t="s">
        <v>45</v>
      </c>
      <c r="L44" s="3">
        <f>C47*I42+D47*I43+E47*I44+F47*I45+G47*I46</f>
        <v>5.062966663</v>
      </c>
    </row>
    <row r="45" ht="15.75" customHeight="1">
      <c r="A45" s="2" t="s">
        <v>25</v>
      </c>
      <c r="B45" s="2" t="s">
        <v>55</v>
      </c>
      <c r="C45" s="6">
        <v>4.0</v>
      </c>
      <c r="D45" s="6">
        <v>4.0</v>
      </c>
      <c r="E45" s="6">
        <v>1.0</v>
      </c>
      <c r="F45" s="6">
        <v>1.0</v>
      </c>
      <c r="G45" s="6">
        <f t="shared" si="17"/>
        <v>0.3333333333</v>
      </c>
      <c r="H45" s="7">
        <f t="shared" si="15"/>
        <v>1.397654238</v>
      </c>
      <c r="I45" s="8">
        <f t="shared" si="16"/>
        <v>0.2010014513</v>
      </c>
      <c r="K45" s="9" t="s">
        <v>46</v>
      </c>
      <c r="L45" s="10">
        <f>ABS(L44-5)/4</f>
        <v>0.01574166573</v>
      </c>
    </row>
    <row r="46" ht="15.75" customHeight="1">
      <c r="A46" s="2" t="s">
        <v>36</v>
      </c>
      <c r="B46" s="2" t="s">
        <v>56</v>
      </c>
      <c r="C46" s="6">
        <v>7.0</v>
      </c>
      <c r="D46" s="6">
        <v>7.0</v>
      </c>
      <c r="E46" s="6">
        <v>3.0</v>
      </c>
      <c r="F46" s="6">
        <v>3.0</v>
      </c>
      <c r="G46" s="6">
        <v>1.0</v>
      </c>
      <c r="H46" s="7">
        <f t="shared" si="15"/>
        <v>3.379774445</v>
      </c>
      <c r="I46" s="8">
        <f t="shared" si="16"/>
        <v>0.4860569591</v>
      </c>
      <c r="K46" s="9" t="s">
        <v>47</v>
      </c>
      <c r="L46" s="10">
        <f>L45/1.12</f>
        <v>0.01405505869</v>
      </c>
      <c r="M46" s="11" t="s">
        <v>48</v>
      </c>
    </row>
    <row r="47" ht="15.75" customHeight="1">
      <c r="B47" s="13" t="s">
        <v>50</v>
      </c>
      <c r="C47" s="14">
        <f t="shared" ref="C47:I47" si="18">SUM(C42:C46)</f>
        <v>17</v>
      </c>
      <c r="D47" s="14">
        <f t="shared" si="18"/>
        <v>17</v>
      </c>
      <c r="E47" s="14">
        <f t="shared" si="18"/>
        <v>5.5</v>
      </c>
      <c r="F47" s="14">
        <f t="shared" si="18"/>
        <v>5.5</v>
      </c>
      <c r="G47" s="14">
        <f t="shared" si="18"/>
        <v>1.952380952</v>
      </c>
      <c r="H47" s="20">
        <f t="shared" si="18"/>
        <v>6.953453462</v>
      </c>
      <c r="I47" s="8">
        <f t="shared" si="18"/>
        <v>1</v>
      </c>
      <c r="K47" s="3" t="s">
        <v>58</v>
      </c>
    </row>
    <row r="48" ht="15.75" customHeight="1"/>
    <row r="49" ht="15.75" customHeight="1">
      <c r="A49" s="16" t="s">
        <v>5</v>
      </c>
    </row>
    <row r="50" ht="15.75" customHeight="1">
      <c r="B50" s="17"/>
      <c r="C50" s="18" t="s">
        <v>52</v>
      </c>
      <c r="D50" s="2" t="s">
        <v>53</v>
      </c>
      <c r="E50" s="2" t="s">
        <v>54</v>
      </c>
      <c r="F50" s="2" t="s">
        <v>55</v>
      </c>
      <c r="G50" s="2" t="s">
        <v>56</v>
      </c>
      <c r="H50" s="4" t="s">
        <v>43</v>
      </c>
      <c r="I50" s="5" t="s">
        <v>44</v>
      </c>
      <c r="K50" s="3" t="s">
        <v>62</v>
      </c>
    </row>
    <row r="51" ht="15.75" customHeight="1">
      <c r="A51" s="2" t="s">
        <v>13</v>
      </c>
      <c r="B51" s="19" t="s">
        <v>52</v>
      </c>
      <c r="C51" s="6">
        <v>1.0</v>
      </c>
      <c r="D51" s="6">
        <v>0.25</v>
      </c>
      <c r="E51" s="6">
        <v>0.25</v>
      </c>
      <c r="F51" s="6">
        <v>1.0</v>
      </c>
      <c r="G51" s="6">
        <f>1/9</f>
        <v>0.1111111111</v>
      </c>
      <c r="H51" s="7">
        <f t="shared" ref="H51:H55" si="19">POWER(PRODUCT(C51:G51),1/5)</f>
        <v>0.3701071725</v>
      </c>
      <c r="I51" s="8">
        <f t="shared" ref="I51:I55" si="20">H51/$H$56</f>
        <v>0.04566446599</v>
      </c>
    </row>
    <row r="52" ht="15.75" customHeight="1">
      <c r="A52" s="2" t="s">
        <v>19</v>
      </c>
      <c r="B52" s="2" t="s">
        <v>53</v>
      </c>
      <c r="C52" s="6">
        <v>4.0</v>
      </c>
      <c r="D52" s="6">
        <v>1.0</v>
      </c>
      <c r="E52" s="6">
        <v>1.0</v>
      </c>
      <c r="F52" s="6">
        <v>4.0</v>
      </c>
      <c r="G52" s="6">
        <f t="shared" ref="G52:G53" si="21">1/6</f>
        <v>0.1666666667</v>
      </c>
      <c r="H52" s="7">
        <f t="shared" si="19"/>
        <v>1.216728684</v>
      </c>
      <c r="I52" s="8">
        <f t="shared" si="20"/>
        <v>0.150122099</v>
      </c>
    </row>
    <row r="53" ht="15.75" customHeight="1">
      <c r="A53" s="2" t="s">
        <v>19</v>
      </c>
      <c r="B53" s="2" t="s">
        <v>54</v>
      </c>
      <c r="C53" s="6">
        <v>4.0</v>
      </c>
      <c r="D53" s="6">
        <v>1.0</v>
      </c>
      <c r="E53" s="6">
        <v>1.0</v>
      </c>
      <c r="F53" s="6">
        <v>4.0</v>
      </c>
      <c r="G53" s="6">
        <f t="shared" si="21"/>
        <v>0.1666666667</v>
      </c>
      <c r="H53" s="7">
        <f t="shared" si="19"/>
        <v>1.216728684</v>
      </c>
      <c r="I53" s="8">
        <f t="shared" si="20"/>
        <v>0.150122099</v>
      </c>
      <c r="K53" s="3" t="s">
        <v>45</v>
      </c>
      <c r="L53" s="3">
        <f>C56*I51+D56*I52+E56*I53+F56*I54+G56*I55</f>
        <v>5.233767188</v>
      </c>
    </row>
    <row r="54" ht="15.75" customHeight="1">
      <c r="A54" s="2" t="s">
        <v>13</v>
      </c>
      <c r="B54" s="2" t="s">
        <v>55</v>
      </c>
      <c r="C54" s="6">
        <v>1.0</v>
      </c>
      <c r="D54" s="6">
        <v>0.25</v>
      </c>
      <c r="E54" s="6">
        <v>0.25</v>
      </c>
      <c r="F54" s="6">
        <v>1.0</v>
      </c>
      <c r="G54" s="6">
        <f>1/9</f>
        <v>0.1111111111</v>
      </c>
      <c r="H54" s="7">
        <f t="shared" si="19"/>
        <v>0.3701071725</v>
      </c>
      <c r="I54" s="8">
        <f t="shared" si="20"/>
        <v>0.04566446599</v>
      </c>
      <c r="K54" s="9" t="s">
        <v>46</v>
      </c>
      <c r="L54" s="10">
        <f>ABS(L53-5)/4</f>
        <v>0.05844179711</v>
      </c>
    </row>
    <row r="55" ht="15.75" customHeight="1">
      <c r="A55" s="2" t="s">
        <v>37</v>
      </c>
      <c r="B55" s="2" t="s">
        <v>56</v>
      </c>
      <c r="C55" s="6">
        <v>9.0</v>
      </c>
      <c r="D55" s="6">
        <v>6.0</v>
      </c>
      <c r="E55" s="6">
        <v>6.0</v>
      </c>
      <c r="F55" s="6">
        <v>9.0</v>
      </c>
      <c r="G55" s="6">
        <v>1.0</v>
      </c>
      <c r="H55" s="7">
        <f t="shared" si="19"/>
        <v>4.931255489</v>
      </c>
      <c r="I55" s="8">
        <f t="shared" si="20"/>
        <v>0.60842687</v>
      </c>
      <c r="K55" s="9" t="s">
        <v>47</v>
      </c>
      <c r="L55" s="10">
        <f>L54/1.12</f>
        <v>0.052180176</v>
      </c>
      <c r="M55" s="11" t="s">
        <v>48</v>
      </c>
    </row>
    <row r="56" ht="15.75" customHeight="1">
      <c r="B56" s="13" t="s">
        <v>50</v>
      </c>
      <c r="C56" s="14">
        <f t="shared" ref="C56:I56" si="22">SUM(C51:C55)</f>
        <v>19</v>
      </c>
      <c r="D56" s="14">
        <f t="shared" si="22"/>
        <v>8.5</v>
      </c>
      <c r="E56" s="14">
        <f t="shared" si="22"/>
        <v>8.5</v>
      </c>
      <c r="F56" s="14">
        <f t="shared" si="22"/>
        <v>19</v>
      </c>
      <c r="G56" s="14">
        <f t="shared" si="22"/>
        <v>1.555555556</v>
      </c>
      <c r="H56" s="20">
        <f t="shared" si="22"/>
        <v>8.104927201</v>
      </c>
      <c r="I56" s="8">
        <f t="shared" si="22"/>
        <v>1</v>
      </c>
      <c r="K56" s="3" t="s">
        <v>58</v>
      </c>
    </row>
    <row r="57" ht="15.75" customHeight="1"/>
    <row r="58" ht="15.75" customHeight="1">
      <c r="A58" s="16" t="s">
        <v>6</v>
      </c>
    </row>
    <row r="59" ht="15.75" customHeight="1">
      <c r="B59" s="17"/>
      <c r="C59" s="18" t="s">
        <v>52</v>
      </c>
      <c r="D59" s="2" t="s">
        <v>53</v>
      </c>
      <c r="E59" s="2" t="s">
        <v>54</v>
      </c>
      <c r="F59" s="2" t="s">
        <v>55</v>
      </c>
      <c r="G59" s="2" t="s">
        <v>56</v>
      </c>
      <c r="H59" s="4" t="s">
        <v>43</v>
      </c>
      <c r="I59" s="5" t="s">
        <v>44</v>
      </c>
      <c r="K59" s="3" t="s">
        <v>63</v>
      </c>
    </row>
    <row r="60" ht="15.75" customHeight="1">
      <c r="A60" s="2" t="s">
        <v>14</v>
      </c>
      <c r="B60" s="19" t="s">
        <v>52</v>
      </c>
      <c r="C60" s="6">
        <v>1.0</v>
      </c>
      <c r="D60" s="6">
        <v>3.0</v>
      </c>
      <c r="E60" s="6">
        <v>3.0</v>
      </c>
      <c r="F60" s="6">
        <v>0.5</v>
      </c>
      <c r="G60" s="6">
        <f>1/5</f>
        <v>0.2</v>
      </c>
      <c r="H60" s="7">
        <f t="shared" ref="H60:H64" si="23">POWER(PRODUCT(C60:G60),1/5)</f>
        <v>0.9791483624</v>
      </c>
      <c r="I60" s="8">
        <f t="shared" ref="I60:I64" si="24">H60/$H$65</f>
        <v>0.1308993052</v>
      </c>
    </row>
    <row r="61" ht="15.75" customHeight="1">
      <c r="A61" s="2" t="s">
        <v>20</v>
      </c>
      <c r="B61" s="2" t="s">
        <v>53</v>
      </c>
      <c r="C61" s="6">
        <f t="shared" ref="C61:C62" si="25">1/3</f>
        <v>0.3333333333</v>
      </c>
      <c r="D61" s="6">
        <v>1.0</v>
      </c>
      <c r="E61" s="6">
        <v>1.0</v>
      </c>
      <c r="F61" s="6">
        <v>0.25</v>
      </c>
      <c r="G61" s="6">
        <f t="shared" ref="G61:G62" si="26">1/8</f>
        <v>0.125</v>
      </c>
      <c r="H61" s="7">
        <f t="shared" si="23"/>
        <v>0.4013707809</v>
      </c>
      <c r="I61" s="8">
        <f t="shared" si="24"/>
        <v>0.05365801382</v>
      </c>
    </row>
    <row r="62" ht="15.75" customHeight="1">
      <c r="A62" s="2" t="s">
        <v>20</v>
      </c>
      <c r="B62" s="2" t="s">
        <v>54</v>
      </c>
      <c r="C62" s="6">
        <f t="shared" si="25"/>
        <v>0.3333333333</v>
      </c>
      <c r="D62" s="6">
        <v>1.0</v>
      </c>
      <c r="E62" s="6">
        <v>1.0</v>
      </c>
      <c r="F62" s="6">
        <v>0.25</v>
      </c>
      <c r="G62" s="6">
        <f t="shared" si="26"/>
        <v>0.125</v>
      </c>
      <c r="H62" s="7">
        <f t="shared" si="23"/>
        <v>0.4013707809</v>
      </c>
      <c r="I62" s="8">
        <f t="shared" si="24"/>
        <v>0.05365801382</v>
      </c>
      <c r="K62" s="3" t="s">
        <v>45</v>
      </c>
      <c r="L62" s="3">
        <f>C65*I60+D65*I61+E65*I62+F65*I63+G65*I64</f>
        <v>5.125182254</v>
      </c>
    </row>
    <row r="63" ht="15.75" customHeight="1">
      <c r="A63" s="2" t="s">
        <v>31</v>
      </c>
      <c r="B63" s="2" t="s">
        <v>55</v>
      </c>
      <c r="C63" s="6">
        <v>2.0</v>
      </c>
      <c r="D63" s="6">
        <v>4.0</v>
      </c>
      <c r="E63" s="6">
        <v>4.0</v>
      </c>
      <c r="F63" s="6">
        <v>1.0</v>
      </c>
      <c r="G63" s="6">
        <f>1/4</f>
        <v>0.25</v>
      </c>
      <c r="H63" s="7">
        <f t="shared" si="23"/>
        <v>1.515716567</v>
      </c>
      <c r="I63" s="8">
        <f t="shared" si="24"/>
        <v>0.2026314429</v>
      </c>
      <c r="K63" s="9" t="s">
        <v>46</v>
      </c>
      <c r="L63" s="10">
        <f>ABS(L62-5)/4</f>
        <v>0.03129556343</v>
      </c>
    </row>
    <row r="64" ht="15.75" customHeight="1">
      <c r="A64" s="2" t="s">
        <v>38</v>
      </c>
      <c r="B64" s="2" t="s">
        <v>56</v>
      </c>
      <c r="C64" s="6">
        <v>5.0</v>
      </c>
      <c r="D64" s="6">
        <v>8.0</v>
      </c>
      <c r="E64" s="6">
        <v>8.0</v>
      </c>
      <c r="F64" s="6">
        <v>4.0</v>
      </c>
      <c r="G64" s="6">
        <v>1.0</v>
      </c>
      <c r="H64" s="7">
        <f t="shared" si="23"/>
        <v>4.18255821</v>
      </c>
      <c r="I64" s="8">
        <f t="shared" si="24"/>
        <v>0.5591532242</v>
      </c>
      <c r="K64" s="9" t="s">
        <v>47</v>
      </c>
      <c r="L64" s="10">
        <f>L63/1.12</f>
        <v>0.02794246735</v>
      </c>
      <c r="M64" s="11" t="s">
        <v>48</v>
      </c>
    </row>
    <row r="65" ht="15.75" customHeight="1">
      <c r="B65" s="13" t="s">
        <v>50</v>
      </c>
      <c r="C65" s="14">
        <f t="shared" ref="C65:I65" si="27">SUM(C60:C64)</f>
        <v>8.666666667</v>
      </c>
      <c r="D65" s="14">
        <f t="shared" si="27"/>
        <v>17</v>
      </c>
      <c r="E65" s="14">
        <f t="shared" si="27"/>
        <v>17</v>
      </c>
      <c r="F65" s="14">
        <f t="shared" si="27"/>
        <v>6</v>
      </c>
      <c r="G65" s="14">
        <f t="shared" si="27"/>
        <v>1.7</v>
      </c>
      <c r="H65" s="20">
        <f t="shared" si="27"/>
        <v>7.480164701</v>
      </c>
      <c r="I65" s="8">
        <f t="shared" si="27"/>
        <v>1</v>
      </c>
      <c r="K65" s="3" t="s">
        <v>58</v>
      </c>
    </row>
    <row r="66" ht="15.75" customHeight="1"/>
    <row r="67" ht="15.75" customHeight="1">
      <c r="A67" s="16" t="s">
        <v>7</v>
      </c>
    </row>
    <row r="68" ht="15.75" customHeight="1">
      <c r="B68" s="17"/>
      <c r="C68" s="18" t="s">
        <v>52</v>
      </c>
      <c r="D68" s="2" t="s">
        <v>53</v>
      </c>
      <c r="E68" s="2" t="s">
        <v>54</v>
      </c>
      <c r="F68" s="2" t="s">
        <v>55</v>
      </c>
      <c r="G68" s="2" t="s">
        <v>56</v>
      </c>
      <c r="H68" s="4" t="s">
        <v>43</v>
      </c>
      <c r="I68" s="5" t="s">
        <v>44</v>
      </c>
      <c r="K68" s="3" t="s">
        <v>64</v>
      </c>
    </row>
    <row r="69" ht="15.75" customHeight="1">
      <c r="A69" s="2" t="s">
        <v>15</v>
      </c>
      <c r="B69" s="19" t="s">
        <v>52</v>
      </c>
      <c r="C69" s="6">
        <v>1.0</v>
      </c>
      <c r="D69" s="6">
        <v>2.0</v>
      </c>
      <c r="E69" s="6">
        <v>5.0</v>
      </c>
      <c r="F69" s="6">
        <v>6.0</v>
      </c>
      <c r="G69" s="6">
        <v>9.0</v>
      </c>
      <c r="H69" s="7">
        <f t="shared" ref="H69:H73" si="28">POWER(PRODUCT(C69:G69),1/5)</f>
        <v>3.519482029</v>
      </c>
      <c r="I69" s="8">
        <f t="shared" ref="I69:I73" si="29">H69/$H$74</f>
        <v>0.4588609711</v>
      </c>
    </row>
    <row r="70" ht="15.75" customHeight="1">
      <c r="A70" s="2" t="s">
        <v>21</v>
      </c>
      <c r="B70" s="2" t="s">
        <v>53</v>
      </c>
      <c r="C70" s="6">
        <v>0.5</v>
      </c>
      <c r="D70" s="6">
        <v>1.0</v>
      </c>
      <c r="E70" s="6">
        <v>4.0</v>
      </c>
      <c r="F70" s="6">
        <v>5.0</v>
      </c>
      <c r="G70" s="6">
        <v>8.0</v>
      </c>
      <c r="H70" s="7">
        <f t="shared" si="28"/>
        <v>2.402248868</v>
      </c>
      <c r="I70" s="8">
        <f t="shared" si="29"/>
        <v>0.313198999</v>
      </c>
    </row>
    <row r="71" ht="15.75" customHeight="1">
      <c r="A71" s="2" t="s">
        <v>26</v>
      </c>
      <c r="B71" s="2" t="s">
        <v>54</v>
      </c>
      <c r="C71" s="6">
        <v>0.2</v>
      </c>
      <c r="D71" s="6">
        <v>0.25</v>
      </c>
      <c r="E71" s="6">
        <v>1.0</v>
      </c>
      <c r="F71" s="6">
        <v>2.0</v>
      </c>
      <c r="G71" s="6">
        <v>7.0</v>
      </c>
      <c r="H71" s="7">
        <f t="shared" si="28"/>
        <v>0.9311499151</v>
      </c>
      <c r="I71" s="8">
        <f t="shared" si="29"/>
        <v>0.1214009195</v>
      </c>
      <c r="K71" s="3" t="s">
        <v>45</v>
      </c>
      <c r="L71" s="3">
        <f>C74*I69+D74*I70+E74*I71+F74*I72+G74*I73</f>
        <v>5.262229273</v>
      </c>
    </row>
    <row r="72" ht="15.75" customHeight="1">
      <c r="A72" s="2" t="s">
        <v>32</v>
      </c>
      <c r="B72" s="2" t="s">
        <v>55</v>
      </c>
      <c r="C72" s="6">
        <f>1/6</f>
        <v>0.1666666667</v>
      </c>
      <c r="D72" s="6">
        <v>0.2</v>
      </c>
      <c r="E72" s="6">
        <v>0.5</v>
      </c>
      <c r="F72" s="6">
        <v>1.0</v>
      </c>
      <c r="G72" s="6">
        <v>5.0</v>
      </c>
      <c r="H72" s="7">
        <f t="shared" si="28"/>
        <v>0.6083643419</v>
      </c>
      <c r="I72" s="8">
        <f t="shared" si="29"/>
        <v>0.07931697063</v>
      </c>
      <c r="K72" s="9" t="s">
        <v>46</v>
      </c>
      <c r="L72" s="10">
        <f>ABS(L71-5)/4</f>
        <v>0.06555731814</v>
      </c>
    </row>
    <row r="73" ht="15.75" customHeight="1">
      <c r="A73" s="2" t="s">
        <v>39</v>
      </c>
      <c r="B73" s="2" t="s">
        <v>56</v>
      </c>
      <c r="C73" s="6">
        <f>1/9</f>
        <v>0.1111111111</v>
      </c>
      <c r="D73" s="6">
        <v>0.125</v>
      </c>
      <c r="E73" s="6">
        <v>0.14285714285714285</v>
      </c>
      <c r="F73" s="6">
        <v>0.2</v>
      </c>
      <c r="G73" s="6">
        <v>1.0</v>
      </c>
      <c r="H73" s="7">
        <f t="shared" si="28"/>
        <v>0.2087949026</v>
      </c>
      <c r="I73" s="8">
        <f t="shared" si="29"/>
        <v>0.02722213979</v>
      </c>
      <c r="K73" s="9" t="s">
        <v>47</v>
      </c>
      <c r="L73" s="10">
        <f>L72/1.12</f>
        <v>0.05853331977</v>
      </c>
      <c r="M73" s="11" t="s">
        <v>48</v>
      </c>
    </row>
    <row r="74" ht="15.75" customHeight="1">
      <c r="B74" s="13" t="s">
        <v>50</v>
      </c>
      <c r="C74" s="14">
        <f t="shared" ref="C74:I74" si="30">SUM(C69:C73)</f>
        <v>1.977777778</v>
      </c>
      <c r="D74" s="14">
        <f t="shared" si="30"/>
        <v>3.575</v>
      </c>
      <c r="E74" s="14">
        <f t="shared" si="30"/>
        <v>10.64285714</v>
      </c>
      <c r="F74" s="14">
        <f t="shared" si="30"/>
        <v>14.2</v>
      </c>
      <c r="G74" s="14">
        <f t="shared" si="30"/>
        <v>30</v>
      </c>
      <c r="H74" s="20">
        <f t="shared" si="30"/>
        <v>7.670040056</v>
      </c>
      <c r="I74" s="8">
        <f t="shared" si="30"/>
        <v>1</v>
      </c>
      <c r="K74" s="3" t="s">
        <v>58</v>
      </c>
    </row>
    <row r="75" ht="15.75" customHeight="1"/>
    <row r="76" ht="15.75" customHeight="1">
      <c r="A76" s="21" t="s">
        <v>65</v>
      </c>
    </row>
    <row r="77" ht="15.75" customHeight="1"/>
    <row r="78" ht="51.75" customHeight="1">
      <c r="A78" s="22" t="s">
        <v>66</v>
      </c>
      <c r="B78" s="23" t="s">
        <v>2</v>
      </c>
      <c r="C78" s="23" t="s">
        <v>3</v>
      </c>
      <c r="D78" s="23" t="s">
        <v>4</v>
      </c>
      <c r="E78" s="23" t="s">
        <v>5</v>
      </c>
      <c r="F78" s="23" t="s">
        <v>6</v>
      </c>
      <c r="G78" s="23" t="s">
        <v>7</v>
      </c>
      <c r="H78" s="24" t="s">
        <v>67</v>
      </c>
    </row>
    <row r="79" ht="15.75" customHeight="1">
      <c r="A79" s="25"/>
      <c r="B79" s="26" t="s">
        <v>68</v>
      </c>
      <c r="C79" s="27"/>
      <c r="D79" s="27"/>
      <c r="E79" s="27"/>
      <c r="F79" s="27"/>
      <c r="G79" s="28"/>
      <c r="H79" s="25"/>
    </row>
    <row r="80" ht="15.75" customHeight="1">
      <c r="A80" s="29"/>
      <c r="B80" s="30">
        <f>H11/$H$17</f>
        <v>0.0492610544</v>
      </c>
      <c r="C80" s="30">
        <f>H12/$H$17</f>
        <v>0.2549102163</v>
      </c>
      <c r="D80" s="30">
        <f>H13/$H$17</f>
        <v>0.1547208736</v>
      </c>
      <c r="E80" s="30">
        <f>H14/$H$17</f>
        <v>0.05699965718</v>
      </c>
      <c r="F80" s="30">
        <f>H15/$H$17</f>
        <v>0.0758566209</v>
      </c>
      <c r="G80" s="30">
        <f>H16/$H$17</f>
        <v>0.4082515777</v>
      </c>
      <c r="H80" s="29"/>
    </row>
    <row r="81" ht="15.75" customHeight="1">
      <c r="A81" s="2" t="s">
        <v>52</v>
      </c>
      <c r="B81" s="30">
        <f t="shared" ref="B81:B85" si="31">H24/$H$29</f>
        <v>0.06204964502</v>
      </c>
      <c r="C81" s="30">
        <f t="shared" ref="C81:C85" si="32">H33/$H$38</f>
        <v>0.04979778396</v>
      </c>
      <c r="D81" s="30">
        <f t="shared" ref="D81:D85" si="33">H42/$H$47</f>
        <v>0.0559700691</v>
      </c>
      <c r="E81" s="30">
        <f t="shared" ref="E81:E85" si="34">H51/$H$56</f>
        <v>0.04566446599</v>
      </c>
      <c r="F81" s="30">
        <f t="shared" ref="F81:F85" si="35">H60/$H$65</f>
        <v>0.1308993052</v>
      </c>
      <c r="G81" s="30">
        <f t="shared" ref="G81:G85" si="36">H69/$H$74</f>
        <v>0.4588609711</v>
      </c>
      <c r="H81" s="30">
        <f t="shared" ref="H81:H85" si="37">$B$80*B81+$C$80*C81+$D$80*D81+$E$80*E81+$F$80*F81+$G$80*G81</f>
        <v>0.2242734861</v>
      </c>
    </row>
    <row r="82" ht="15.75" customHeight="1">
      <c r="A82" s="2" t="s">
        <v>53</v>
      </c>
      <c r="B82" s="30">
        <f t="shared" si="31"/>
        <v>0.1655030703</v>
      </c>
      <c r="C82" s="30">
        <f t="shared" si="32"/>
        <v>0.04979778396</v>
      </c>
      <c r="D82" s="30">
        <f t="shared" si="33"/>
        <v>0.0559700691</v>
      </c>
      <c r="E82" s="30">
        <f t="shared" si="34"/>
        <v>0.150122099</v>
      </c>
      <c r="F82" s="30">
        <f t="shared" si="35"/>
        <v>0.05365801382</v>
      </c>
      <c r="G82" s="30">
        <f t="shared" si="36"/>
        <v>0.313198999</v>
      </c>
      <c r="H82" s="30">
        <f t="shared" si="37"/>
        <v>0.1699977669</v>
      </c>
    </row>
    <row r="83" ht="15.75" customHeight="1">
      <c r="A83" s="2" t="s">
        <v>54</v>
      </c>
      <c r="B83" s="30">
        <f t="shared" si="31"/>
        <v>0.1655030703</v>
      </c>
      <c r="C83" s="30">
        <f t="shared" si="32"/>
        <v>0.2137870415</v>
      </c>
      <c r="D83" s="30">
        <f t="shared" si="33"/>
        <v>0.2010014513</v>
      </c>
      <c r="E83" s="30">
        <f t="shared" si="34"/>
        <v>0.150122099</v>
      </c>
      <c r="F83" s="30">
        <f t="shared" si="35"/>
        <v>0.05365801382</v>
      </c>
      <c r="G83" s="30">
        <f t="shared" si="36"/>
        <v>0.1214009195</v>
      </c>
      <c r="H83" s="30">
        <f t="shared" si="37"/>
        <v>0.1559378176</v>
      </c>
    </row>
    <row r="84" ht="15.75" customHeight="1">
      <c r="A84" s="2" t="s">
        <v>55</v>
      </c>
      <c r="B84" s="30">
        <f t="shared" si="31"/>
        <v>0.441441144</v>
      </c>
      <c r="C84" s="30">
        <f t="shared" si="32"/>
        <v>0.4728303491</v>
      </c>
      <c r="D84" s="30">
        <f t="shared" si="33"/>
        <v>0.2010014513</v>
      </c>
      <c r="E84" s="30">
        <f t="shared" si="34"/>
        <v>0.04566446599</v>
      </c>
      <c r="F84" s="30">
        <f t="shared" si="35"/>
        <v>0.2026314429</v>
      </c>
      <c r="G84" s="30">
        <f t="shared" si="36"/>
        <v>0.07931697063</v>
      </c>
      <c r="H84" s="30">
        <f t="shared" si="37"/>
        <v>0.2237293368</v>
      </c>
    </row>
    <row r="85" ht="15.75" customHeight="1">
      <c r="A85" s="2" t="s">
        <v>56</v>
      </c>
      <c r="B85" s="30">
        <f t="shared" si="31"/>
        <v>0.1655030703</v>
      </c>
      <c r="C85" s="30">
        <f t="shared" si="32"/>
        <v>0.2137870415</v>
      </c>
      <c r="D85" s="30">
        <f t="shared" si="33"/>
        <v>0.4860569591</v>
      </c>
      <c r="E85" s="30">
        <f t="shared" si="34"/>
        <v>0.60842687</v>
      </c>
      <c r="F85" s="30">
        <f t="shared" si="35"/>
        <v>0.5591532242</v>
      </c>
      <c r="G85" s="30">
        <f t="shared" si="36"/>
        <v>0.02722213979</v>
      </c>
      <c r="H85" s="30">
        <f t="shared" si="37"/>
        <v>0.2260615927</v>
      </c>
    </row>
    <row r="86" ht="15.75" customHeight="1"/>
    <row r="87" ht="15.75" customHeight="1">
      <c r="N87" s="21" t="s">
        <v>69</v>
      </c>
    </row>
    <row r="88" ht="15.75" customHeight="1">
      <c r="N88" s="31" t="s">
        <v>70</v>
      </c>
    </row>
    <row r="89" ht="15.75" customHeight="1">
      <c r="N89" s="31" t="s">
        <v>71</v>
      </c>
    </row>
    <row r="90" ht="15.75" customHeight="1">
      <c r="N90" s="31" t="s">
        <v>72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78:A80"/>
    <mergeCell ref="H78:H80"/>
    <mergeCell ref="B79:G79"/>
  </mergeCells>
  <printOptions/>
  <pageMargins bottom="0.75" footer="0.0" header="0.0" left="0.7" right="0.7" top="0.75"/>
  <pageSetup paperSize="9" orientation="portrait"/>
  <drawing r:id="rId1"/>
</worksheet>
</file>